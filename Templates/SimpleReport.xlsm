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07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elix\Documents\Trading\TuringTrader\Bertram.Solutions\Templates\"/>
    </mc:Choice>
  </mc:AlternateContent>
  <xr:revisionPtr revIDLastSave="0" documentId="13_ncr:1_{D3AD06CB-777B-4FB5-A922-72C68A79F9AB}" xr6:coauthVersionLast="45" xr6:coauthVersionMax="45" xr10:uidLastSave="{00000000-0000-0000-0000-000000000000}"/>
  <bookViews>
    <workbookView xWindow="720" yWindow="1170" windowWidth="21270" windowHeight="13950" tabRatio="781" xr2:uid="{00000000-000D-0000-FFFF-FFFF00000000}"/>
  </bookViews>
  <sheets>
    <sheet name="Sheet1" sheetId="3938" r:id="rId1"/>
  </sheets>
  <functionGroups builtInGroupCount="19"/>
  <definedNames>
    <definedName name="TradingLogData" localSheetId="0">Sheet1!#REF!</definedName>
    <definedName name="TradingLogData_1" localSheetId="0">Sheet1!#REF!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S6" i="3938" l="1"/>
  <c r="R6" i="3938"/>
  <c r="R12" i="3938" l="1"/>
  <c r="S11" i="3938"/>
  <c r="R11" i="3938"/>
  <c r="S10" i="3938"/>
  <c r="R10" i="3938"/>
  <c r="R3" i="3938"/>
  <c r="R8" i="3938" s="1"/>
  <c r="R2" i="3938"/>
  <c r="R7" i="3938" s="1"/>
  <c r="R4" i="3938" l="1"/>
  <c r="S8" i="3938"/>
  <c r="S7" i="3938"/>
  <c r="S9" i="3938" l="1"/>
  <c r="R9" i="3938"/>
</calcChain>
</file>

<file path=xl/sharedStrings.xml><?xml version="1.0" encoding="utf-8"?>
<sst xmlns="http://schemas.openxmlformats.org/spreadsheetml/2006/main" count="9" uniqueCount="9">
  <si>
    <t>Start Date</t>
  </si>
  <si>
    <t>End Date</t>
  </si>
  <si>
    <t>Years</t>
  </si>
  <si>
    <t>Start Balance</t>
  </si>
  <si>
    <t>End Balance</t>
  </si>
  <si>
    <t>CAGR</t>
  </si>
  <si>
    <t>MDD</t>
  </si>
  <si>
    <t>Sharpe Ratio</t>
  </si>
  <si>
    <t>Beta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</si>
</sst>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164" formatCode="_([$$-409]* #,##0.00_);_([$$-409]* \(#,##0.00\);_([$$-409]* &quot;-&quot;??_);_(@_)"/>
    <numFmt numFmtId="165" formatCode="0.0%"/>
    <numFmt numFmtId="166" formatCode="0.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8">
    <xf numFmtId="0" fontId="0" fillId="0" borderId="0" xfId="0"/>
    <xf numFmtId="14" fontId="0" fillId="0" borderId="0" xfId="0" applyNumberFormat="1"/>
    <xf numFmtId="0" fontId="2" fillId="0" borderId="0" xfId="0" applyFont="1"/>
    <xf numFmtId="164" fontId="0" fillId="0" borderId="0" xfId="1" applyNumberFormat="1" applyFont="1"/>
    <xf numFmtId="165" fontId="0" fillId="0" borderId="0" xfId="2" applyNumberFormat="1" applyFont="1"/>
    <xf numFmtId="166" fontId="0" fillId="0" borderId="0" xfId="0" applyNumberFormat="1"/>
    <xf numFmtId="2" fontId="0" fillId="0" borderId="0" xfId="0" applyNumberFormat="1"/>
    <xf numFmtId="0" fontId="0" fillId="2" borderId="0" xfId="0" applyFill="1"/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7C9235-F466-4B45-A1C8-4DCBA2E2772C}">
  <sheetPr codeName="Sheet1"/>
  <dimension ref="A1:S35"/>
  <sheetViews>
    <sheetView tabSelected="1" workbookViewId="0">
      <selection activeCell="S7" sqref="S7"/>
    </sheetView>
  </sheetViews>
  <sheetFormatPr defaultRowHeight="15" x14ac:dyDescent="0.25"/>
  <cols>
    <col min="18" max="19" width="15.7109375" customWidth="1"/>
  </cols>
  <sheetData>
    <row r="1" spans="1:19" x14ac:dyDescent="0.25">
      <c r="A1" s="7"/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</row>
    <row r="2" spans="1:19" x14ac:dyDescent="0.25">
      <c r="A2" s="7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Q2" t="s">
        <v>0</v>
      </c>
      <c r="R2" s="1">
        <f>SUBTOTAL(5,A:A)</f>
        <v>0</v>
      </c>
    </row>
    <row r="3" spans="1:19" x14ac:dyDescent="0.25">
      <c r="A3" s="7"/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Q3" t="s">
        <v>1</v>
      </c>
      <c r="R3" s="1">
        <f>SUBTOTAL(4, A:A)</f>
        <v>0</v>
      </c>
    </row>
    <row r="4" spans="1:19" x14ac:dyDescent="0.25">
      <c r="A4" s="7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Q4" t="s">
        <v>2</v>
      </c>
      <c r="R4" s="5">
        <f>YEARFRAC(R2,R3)</f>
        <v>0</v>
      </c>
    </row>
    <row r="5" spans="1:19" x14ac:dyDescent="0.25">
      <c r="A5" s="7"/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</row>
    <row r="6" spans="1:19" x14ac:dyDescent="0.25">
      <c r="A6" s="7"/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R6" s="2">
        <f>B37</f>
        <v>0</v>
      </c>
      <c r="S6" s="2">
        <f>C37</f>
        <v>0</v>
      </c>
    </row>
    <row r="7" spans="1:19" x14ac:dyDescent="0.25">
      <c r="A7" s="7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Q7" t="s">
        <v>3</v>
      </c>
      <c r="R7" s="3" t="e">
        <f>VLOOKUP(R2,A:B, 2)</f>
        <v>#N/A</v>
      </c>
      <c r="S7" s="3" t="e">
        <f>VLOOKUP(R2,A:C, 3)</f>
        <v>#N/A</v>
      </c>
    </row>
    <row r="8" spans="1:19" x14ac:dyDescent="0.25">
      <c r="A8" s="7"/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Q8" t="s">
        <v>4</v>
      </c>
      <c r="R8" s="3" t="e">
        <f>VLOOKUP(R3,A:B, 2)</f>
        <v>#N/A</v>
      </c>
      <c r="S8" s="3" t="e">
        <f>VLOOKUP(R3,A:C, 3)</f>
        <v>#N/A</v>
      </c>
    </row>
    <row r="9" spans="1:19" x14ac:dyDescent="0.25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Q9" t="s">
        <v>5</v>
      </c>
      <c r="R9" s="4" t="e">
        <f>POWER(10, SUBTOTAL(9,D:D)/R4) - 1</f>
        <v>#DIV/0!</v>
      </c>
      <c r="S9" s="4" t="e">
        <f>POWER(10, SUBTOTAL(9,E:E)/R4) - 1</f>
        <v>#DIV/0!</v>
      </c>
    </row>
    <row r="10" spans="1:19" x14ac:dyDescent="0.25">
      <c r="A10" s="7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Q10" t="s">
        <v>6</v>
      </c>
      <c r="R10" s="4">
        <f>SUBTOTAL(5,L:L)</f>
        <v>0</v>
      </c>
      <c r="S10" s="4">
        <f>SUBTOTAL(5,M:M)</f>
        <v>0</v>
      </c>
    </row>
    <row r="11" spans="1:19" x14ac:dyDescent="0.25">
      <c r="A11" s="7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Q11" t="s">
        <v>7</v>
      </c>
      <c r="R11" s="6" t="e">
        <f>SQRT(252) * SUBTOTAL(1,D:D)/ SUBTOTAL(7,D:D)</f>
        <v>#DIV/0!</v>
      </c>
      <c r="S11" s="6" t="e">
        <f>SQRT(252) * SUBTOTAL(1,E:E)/ SUBTOTAL(7,E:E)</f>
        <v>#DIV/0!</v>
      </c>
    </row>
    <row r="12" spans="1:19" x14ac:dyDescent="0.25">
      <c r="A12" s="7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Q12" t="s">
        <v>8</v>
      </c>
      <c r="R12" s="6" t="e">
        <f>_xlfn.COVARIANCE.S(D:D,E:E)/_xlfn.VAR.S(E:E)</f>
        <v>#DIV/0!</v>
      </c>
      <c r="S12" s="6"/>
    </row>
    <row r="13" spans="1:19" x14ac:dyDescent="0.25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</row>
    <row r="14" spans="1:19" x14ac:dyDescent="0.25">
      <c r="A14" s="7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</row>
    <row r="15" spans="1:19" x14ac:dyDescent="0.25">
      <c r="A15" s="7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</row>
    <row r="16" spans="1:19" x14ac:dyDescent="0.25">
      <c r="A16" s="7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</row>
    <row r="17" spans="1:15" x14ac:dyDescent="0.25">
      <c r="A17" s="7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</row>
    <row r="18" spans="1:15" x14ac:dyDescent="0.25">
      <c r="A18" s="7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</row>
    <row r="19" spans="1:15" x14ac:dyDescent="0.25">
      <c r="A19" s="7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</row>
    <row r="20" spans="1:15" x14ac:dyDescent="0.25">
      <c r="A20" s="7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</row>
    <row r="21" spans="1:15" x14ac:dyDescent="0.25">
      <c r="A21" s="7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</row>
    <row r="22" spans="1:15" x14ac:dyDescent="0.25">
      <c r="A22" s="7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</row>
    <row r="23" spans="1:15" x14ac:dyDescent="0.25">
      <c r="A23" s="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</row>
    <row r="24" spans="1:15" x14ac:dyDescent="0.25">
      <c r="A24" s="7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</row>
    <row r="25" spans="1:15" x14ac:dyDescent="0.25">
      <c r="A25" s="7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</row>
    <row r="26" spans="1:15" x14ac:dyDescent="0.25">
      <c r="A26" s="7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</row>
    <row r="27" spans="1:15" x14ac:dyDescent="0.25">
      <c r="A27" s="7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</row>
    <row r="28" spans="1:15" x14ac:dyDescent="0.25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</row>
    <row r="29" spans="1:15" x14ac:dyDescent="0.25">
      <c r="A29" s="7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</row>
    <row r="30" spans="1:15" x14ac:dyDescent="0.25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</row>
    <row r="31" spans="1:15" x14ac:dyDescent="0.25">
      <c r="A31" s="7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</row>
    <row r="32" spans="1:15" x14ac:dyDescent="0.25">
      <c r="A32" s="7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</row>
    <row r="33" spans="1:15" x14ac:dyDescent="0.25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</row>
    <row r="34" spans="1:15" x14ac:dyDescent="0.25">
      <c r="A34" s="7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</row>
    <row r="35" spans="1:15" x14ac:dyDescent="0.25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 Bertram</dc:creator>
  <cp:lastModifiedBy>Felix Bertram</cp:lastModifiedBy>
  <cp:lastPrinted>2018-05-03T17:29:30Z</cp:lastPrinted>
  <dcterms:created xsi:type="dcterms:W3CDTF">2017-05-22T23:50:52Z</dcterms:created>
  <dcterms:modified xsi:type="dcterms:W3CDTF">2019-12-02T00:24:22Z</dcterms:modified>
</cp:coreProperties>
</file>